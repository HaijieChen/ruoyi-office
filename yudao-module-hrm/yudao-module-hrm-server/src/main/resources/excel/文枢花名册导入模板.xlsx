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\\192.168.1.210\document\3dm资料\1-现用-人事资料\2-花名册-含兼职\"/>
    </mc:Choice>
  </mc:AlternateContent>
  <bookViews>
    <workbookView windowWidth="28800" windowHeight="12165" tabRatio="728"/>
  </bookViews>
  <sheets>
    <sheet name="文枢在职" sheetId="1" r:id="rId1"/>
  </sheets>
  <definedNames>
    <definedName name="_xlnm._FilterDatabase" localSheetId="0" hidden="1">文枢在职!$A$3:$BB$4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<sst xmlns="http://schemas.openxmlformats.org/spreadsheetml/2006/main" count="112" uniqueCount="96">
  <si>
    <t xml:space="preserve">   上海文枢 员工基本信息表</t>
  </si>
  <si>
    <t>序号</t>
  </si>
  <si>
    <t>是否缴纳社保</t>
  </si>
  <si>
    <t>是否缴纳公积金</t>
  </si>
  <si>
    <t>单位名称</t>
  </si>
  <si>
    <t>部门</t>
  </si>
  <si>
    <t>职位</t>
  </si>
  <si>
    <t>姓名</t>
  </si>
  <si>
    <t>入职日期</t>
  </si>
  <si>
    <t>转正日期</t>
  </si>
  <si>
    <t>试用期薪资</t>
  </si>
  <si>
    <t>转正薪资</t>
  </si>
  <si>
    <t>参保年月</t>
  </si>
  <si>
    <t>身份证号</t>
  </si>
  <si>
    <t>手机</t>
  </si>
  <si>
    <t>性别</t>
  </si>
  <si>
    <t>民族</t>
  </si>
  <si>
    <t>婚育情况</t>
  </si>
  <si>
    <t>户籍性质</t>
  </si>
  <si>
    <t>籍贯</t>
  </si>
  <si>
    <t>出生年月</t>
  </si>
  <si>
    <t>年龄</t>
  </si>
  <si>
    <t>司龄</t>
  </si>
  <si>
    <t>最高学历</t>
  </si>
  <si>
    <t>学历类别</t>
  </si>
  <si>
    <t>学位</t>
  </si>
  <si>
    <t>第一学历</t>
  </si>
  <si>
    <t>最高学历
毕业学校</t>
  </si>
  <si>
    <t>最高学历专业</t>
  </si>
  <si>
    <t>最高学历毕业时间</t>
  </si>
  <si>
    <t>第一学历
毕业学校</t>
  </si>
  <si>
    <t>第一学历专业</t>
  </si>
  <si>
    <t>第一学历毕业时间</t>
  </si>
  <si>
    <t>户籍地址</t>
  </si>
  <si>
    <t>现居住地</t>
  </si>
  <si>
    <t>员工类型</t>
  </si>
  <si>
    <t>用工形式</t>
  </si>
  <si>
    <t>合同类型</t>
  </si>
  <si>
    <t>合同签订次数</t>
  </si>
  <si>
    <t>目前合同签订日期（起）</t>
  </si>
  <si>
    <t>目前合同到期日（止）</t>
  </si>
  <si>
    <t>银行卡号</t>
  </si>
  <si>
    <t>开户行</t>
  </si>
  <si>
    <t>紧急联系人/关系</t>
  </si>
  <si>
    <t>紧急联系人方式</t>
  </si>
  <si>
    <t>一次合同起止日期</t>
  </si>
  <si>
    <t>二次合同起止日期</t>
  </si>
  <si>
    <t>三次合同起止日期</t>
  </si>
  <si>
    <t>四次合同起止日期</t>
  </si>
  <si>
    <t>招聘渠道</t>
  </si>
  <si>
    <t>面试人</t>
  </si>
  <si>
    <t>入职资料（系统里可以标注一个上传附件的地方，我们可以扫描上传入职资料）</t>
  </si>
  <si>
    <t>是</t>
  </si>
  <si>
    <t>文枢</t>
  </si>
  <si>
    <t>总经办</t>
  </si>
  <si>
    <t>副总经理</t>
  </si>
  <si>
    <t>钟伟</t>
  </si>
  <si>
    <t>430981198311201111</t>
  </si>
  <si>
    <t>15995408684</t>
  </si>
  <si>
    <t>汉族</t>
  </si>
  <si>
    <t>已婚已育</t>
  </si>
  <si>
    <t>农业</t>
  </si>
  <si>
    <t>湖南沅江</t>
  </si>
  <si>
    <t>大专</t>
  </si>
  <si>
    <t>可以选函授、自考、网络、成考等</t>
  </si>
  <si>
    <t>湖南省沅江市茶盘洲镇幸福村三组159号</t>
  </si>
  <si>
    <t>上海市闵行区飞碟苑129栋1101</t>
  </si>
  <si>
    <t>正式</t>
  </si>
  <si>
    <t>全日制</t>
  </si>
  <si>
    <t>无固定期限劳动合同</t>
  </si>
  <si>
    <t>第3次</t>
  </si>
  <si>
    <t>6217 2311 0200 4496 773</t>
  </si>
  <si>
    <t>中国建行股份有限公司苏州万达广场支行</t>
  </si>
  <si>
    <t>高丹</t>
  </si>
  <si>
    <t>18216275527</t>
  </si>
  <si>
    <t>2017/03/20-2020/03/19</t>
  </si>
  <si>
    <t>2018/09/01-2021/08/31</t>
  </si>
  <si>
    <t>2021/09/01-2024/08/31</t>
  </si>
  <si>
    <t>2024/09/01-无固定期限</t>
  </si>
  <si>
    <t>研发部</t>
  </si>
  <si>
    <t>后端开发</t>
  </si>
  <si>
    <t>金景</t>
  </si>
  <si>
    <t>341226198611184241</t>
  </si>
  <si>
    <t>安徽</t>
  </si>
  <si>
    <t>本科</t>
  </si>
  <si>
    <t>安徽新华学院</t>
  </si>
  <si>
    <t>计算机科学与技术（（数媒方向）</t>
  </si>
  <si>
    <t>安徽省颍上县陈桥镇金岗村金圩025号</t>
  </si>
  <si>
    <t>上海市奉贤区南渡新苑44号203室</t>
  </si>
  <si>
    <t>6217 0012 1008 6777 305</t>
  </si>
  <si>
    <t>建行</t>
  </si>
  <si>
    <t>金广梅</t>
  </si>
  <si>
    <t>2016/11/1-2017/10/31</t>
  </si>
  <si>
    <t>2017/11/1-2018/10/31</t>
  </si>
  <si>
    <t>2018/9/3-2021/9/2</t>
  </si>
  <si>
    <t>20210903-无固定期限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</si>
</sst>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yyyy/m/d;@"/>
  </numFmts>
  <fonts count="2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28"/>
      <color theme="1"/>
      <name val="微软雅黑"/>
      <charset val="134"/>
    </font>
    <font>
      <b/>
      <sz val="10"/>
      <color indexed="8"/>
      <name val="微软雅黑"/>
      <charset val="134"/>
    </font>
    <font>
      <sz val="10"/>
      <color indexed="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11"/>
      <color indexed="8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8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6" fillId="0" borderId="0"/>
  </cellStyleXfs>
  <cellXfs count="35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left" vertical="center"/>
    </xf>
    <xf numFmtId="0" fontId="4" fillId="4" borderId="1" xfId="50" applyNumberFormat="1" applyFont="1" applyFill="1" applyBorder="1" applyAlignment="1">
      <alignment horizontal="center" vertical="center" wrapText="1"/>
    </xf>
    <xf numFmtId="0" fontId="4" fillId="4" borderId="2" xfId="50" applyNumberFormat="1" applyFont="1" applyFill="1" applyBorder="1" applyAlignment="1">
      <alignment horizontal="center" vertical="center" wrapText="1"/>
    </xf>
    <xf numFmtId="0" fontId="4" fillId="4" borderId="1" xfId="50" applyFont="1" applyFill="1" applyBorder="1" applyAlignment="1">
      <alignment horizontal="center" vertical="center" wrapText="1"/>
    </xf>
    <xf numFmtId="176" fontId="4" fillId="4" borderId="1" xfId="50" applyNumberFormat="1" applyFont="1" applyFill="1" applyBorder="1" applyAlignment="1">
      <alignment horizontal="center" vertical="center" wrapText="1"/>
    </xf>
    <xf numFmtId="0" fontId="4" fillId="4" borderId="0" xfId="50" applyFont="1" applyFill="1" applyAlignment="1">
      <alignment horizontal="center" vertical="center" wrapText="1"/>
    </xf>
    <xf numFmtId="0" fontId="4" fillId="4" borderId="2" xfId="5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177" fontId="6" fillId="0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 vertical="center"/>
    </xf>
    <xf numFmtId="0" fontId="6" fillId="3" borderId="1" xfId="5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6" fillId="3" borderId="1" xfId="50" applyNumberFormat="1" applyFont="1" applyFill="1" applyBorder="1" applyAlignment="1">
      <alignment horizontal="center" vertical="center" wrapText="1"/>
    </xf>
    <xf numFmtId="0" fontId="6" fillId="3" borderId="1" xfId="5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6" fillId="0" borderId="1" xfId="50" applyFont="1" applyBorder="1" applyAlignment="1">
      <alignment horizontal="center" vertical="center"/>
    </xf>
    <xf numFmtId="0" fontId="6" fillId="0" borderId="1" xfId="50" applyFont="1" applyFill="1" applyBorder="1" applyAlignment="1">
      <alignment horizontal="center" vertical="center"/>
    </xf>
    <xf numFmtId="14" fontId="6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177" fontId="2" fillId="0" borderId="3" xfId="0" applyNumberFormat="1" applyFont="1" applyFill="1" applyBorder="1" applyAlignment="1">
      <alignment horizontal="center" vertical="center"/>
    </xf>
    <xf numFmtId="14" fontId="6" fillId="0" borderId="4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Fill="1" applyBorder="1" applyAlignment="1">
      <alignment horizontal="center" vertical="center" wrapText="1"/>
    </xf>
    <xf numFmtId="0" fontId="6" fillId="0" borderId="1" xfId="0" applyNumberFormat="1" applyFont="1" applyFill="1" applyBorder="1" applyAlignment="1" quotePrefix="1">
      <alignment horizontal="center" vertical="center"/>
    </xf>
    <xf numFmtId="0" fontId="6" fillId="0" borderId="1" xfId="0" applyFont="1" applyFill="1" applyBorder="1" applyAlignment="1" quotePrefix="1">
      <alignment horizontal="center" vertical="center" wrapText="1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_11" xfId="49"/>
    <cellStyle name="常规 4" xfId="50"/>
    <cellStyle name="常规 2" xfId="51"/>
  </cellStyles>
  <tableStyles count="0" defaultTableStyle="TableStyleMedium2" defaultPivotStyle="PivotStyleLight16"/>
  <colors>
    <mruColors>
      <color rgb="00CC4E3F"/>
      <color rgb="00FE7EFD"/>
      <color rgb="00E3F668"/>
      <color rgb="00FFFF00"/>
      <color rgb="008D8FB6"/>
      <color rgb="00FFC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Z4"/>
  <sheetViews>
    <sheetView tabSelected="1" workbookViewId="0">
      <pane xSplit="7" ySplit="2" topLeftCell="H3" activePane="bottomRight" state="frozen"/>
      <selection/>
      <selection pane="topRight"/>
      <selection pane="bottomLeft"/>
      <selection pane="bottomRight" activeCell="AZ2" sqref="AZ2"/>
    </sheetView>
  </sheetViews>
  <sheetFormatPr defaultColWidth="9" defaultRowHeight="16.5" outlineLevelRow="3"/>
  <cols>
    <col min="1" max="1" width="11.225" style="1" customWidth="1"/>
    <col min="2" max="2" width="10.375" style="1" customWidth="1"/>
    <col min="3" max="3" width="13" style="1" customWidth="1"/>
    <col min="4" max="4" width="10" style="1" customWidth="1"/>
    <col min="5" max="5" width="14.125" style="1" customWidth="1"/>
    <col min="6" max="6" width="17.125" style="1" customWidth="1"/>
    <col min="7" max="7" width="9" style="1"/>
    <col min="8" max="8" width="11.5" style="1" customWidth="1"/>
    <col min="9" max="12" width="13.1083333333333" style="1" customWidth="1"/>
    <col min="13" max="13" width="22.8833333333333" style="1" customWidth="1"/>
    <col min="14" max="14" width="14" style="1" customWidth="1"/>
    <col min="15" max="15" width="9" style="4" customWidth="1"/>
    <col min="16" max="16" width="7.225" style="1" customWidth="1"/>
    <col min="17" max="18" width="9" style="1" customWidth="1"/>
    <col min="19" max="19" width="15.75" style="1" customWidth="1"/>
    <col min="20" max="20" width="22.8916666666667" style="4" customWidth="1"/>
    <col min="21" max="21" width="9" style="4" customWidth="1"/>
    <col min="22" max="22" width="15.225" style="4" customWidth="1"/>
    <col min="23" max="27" width="9" style="1" customWidth="1"/>
    <col min="28" max="28" width="30.125" style="1" customWidth="1"/>
    <col min="29" max="30" width="18.5" style="1" customWidth="1"/>
    <col min="31" max="31" width="31.125" style="1" customWidth="1"/>
    <col min="32" max="33" width="27.625" style="1" customWidth="1"/>
    <col min="34" max="34" width="53.6333333333333" style="5" customWidth="1"/>
    <col min="35" max="35" width="69" style="5" customWidth="1"/>
    <col min="36" max="36" width="9" style="1" customWidth="1"/>
    <col min="37" max="37" width="10.4416666666667" style="1" customWidth="1"/>
    <col min="38" max="38" width="16.775" style="1" customWidth="1"/>
    <col min="39" max="39" width="12.2166666666667" style="1" customWidth="1"/>
    <col min="40" max="40" width="19.5583333333333" style="1" customWidth="1"/>
    <col min="41" max="41" width="18.5583333333333" style="1" customWidth="1"/>
    <col min="42" max="42" width="26" style="1" customWidth="1"/>
    <col min="43" max="43" width="34.75" style="1" customWidth="1"/>
    <col min="44" max="44" width="14.8833333333333" style="1" customWidth="1"/>
    <col min="45" max="45" width="13.8833333333333" style="1" customWidth="1"/>
    <col min="46" max="46" width="25" style="1" customWidth="1"/>
    <col min="47" max="47" width="24.4416666666667" style="1" customWidth="1"/>
    <col min="48" max="49" width="23.5583333333333" style="1" customWidth="1"/>
    <col min="50" max="50" width="16.6666666666667" style="1" customWidth="1"/>
    <col min="51" max="51" width="15.8833333333333" style="1" customWidth="1"/>
    <col min="52" max="52" width="62.125" style="1" customWidth="1"/>
    <col min="53" max="53" width="23.25" style="1" customWidth="1"/>
    <col min="54" max="16384" width="9" style="1"/>
  </cols>
  <sheetData>
    <row r="1" s="1" customFormat="1" ht="34.05" customHeight="1" spans="1:52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7"/>
      <c r="P1" s="6"/>
      <c r="Q1" s="6"/>
      <c r="R1" s="6"/>
      <c r="S1" s="6"/>
      <c r="T1" s="7"/>
      <c r="U1" s="7"/>
      <c r="V1" s="7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8"/>
      <c r="AI1" s="8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</row>
    <row r="2" s="2" customFormat="1" ht="34.05" customHeight="1" spans="1:52">
      <c r="A2" s="9" t="s">
        <v>1</v>
      </c>
      <c r="B2" s="9" t="s">
        <v>2</v>
      </c>
      <c r="C2" s="10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  <c r="M2" s="9" t="s">
        <v>13</v>
      </c>
      <c r="N2" s="9" t="s">
        <v>14</v>
      </c>
      <c r="O2" s="11" t="s">
        <v>15</v>
      </c>
      <c r="P2" s="9" t="s">
        <v>16</v>
      </c>
      <c r="Q2" s="9" t="s">
        <v>17</v>
      </c>
      <c r="R2" s="9" t="s">
        <v>18</v>
      </c>
      <c r="S2" s="9" t="s">
        <v>19</v>
      </c>
      <c r="T2" s="12" t="s">
        <v>20</v>
      </c>
      <c r="U2" s="13" t="s">
        <v>21</v>
      </c>
      <c r="V2" s="9" t="s">
        <v>22</v>
      </c>
      <c r="W2" s="9" t="s">
        <v>23</v>
      </c>
      <c r="X2" s="14" t="s">
        <v>24</v>
      </c>
      <c r="Y2" s="14" t="s">
        <v>25</v>
      </c>
      <c r="Z2" s="14" t="s">
        <v>26</v>
      </c>
      <c r="AA2" s="14" t="s">
        <v>25</v>
      </c>
      <c r="AB2" s="10" t="s">
        <v>27</v>
      </c>
      <c r="AC2" s="10" t="s">
        <v>28</v>
      </c>
      <c r="AD2" s="14" t="s">
        <v>29</v>
      </c>
      <c r="AE2" s="9" t="s">
        <v>30</v>
      </c>
      <c r="AF2" s="10" t="s">
        <v>31</v>
      </c>
      <c r="AG2" s="14" t="s">
        <v>32</v>
      </c>
      <c r="AH2" s="9" t="s">
        <v>33</v>
      </c>
      <c r="AI2" s="9" t="s">
        <v>34</v>
      </c>
      <c r="AJ2" s="9" t="s">
        <v>35</v>
      </c>
      <c r="AK2" s="9" t="s">
        <v>36</v>
      </c>
      <c r="AL2" s="9" t="s">
        <v>37</v>
      </c>
      <c r="AM2" s="9" t="s">
        <v>38</v>
      </c>
      <c r="AN2" s="9" t="s">
        <v>39</v>
      </c>
      <c r="AO2" s="9" t="s">
        <v>40</v>
      </c>
      <c r="AP2" s="9" t="s">
        <v>41</v>
      </c>
      <c r="AQ2" s="9" t="s">
        <v>42</v>
      </c>
      <c r="AR2" s="9" t="s">
        <v>43</v>
      </c>
      <c r="AS2" s="9" t="s">
        <v>44</v>
      </c>
      <c r="AT2" s="9" t="s">
        <v>45</v>
      </c>
      <c r="AU2" s="9" t="s">
        <v>46</v>
      </c>
      <c r="AV2" s="9" t="s">
        <v>47</v>
      </c>
      <c r="AW2" s="9" t="s">
        <v>48</v>
      </c>
      <c r="AX2" s="9" t="s">
        <v>49</v>
      </c>
      <c r="AY2" s="9" t="s">
        <v>50</v>
      </c>
      <c r="AZ2" s="9" t="s">
        <v>51</v>
      </c>
    </row>
    <row r="3" s="3" customFormat="1" ht="20" customHeight="1" spans="1:52">
      <c r="A3" s="15">
        <v>1</v>
      </c>
      <c r="B3" s="15" t="s">
        <v>52</v>
      </c>
      <c r="C3" s="16" t="s">
        <v>52</v>
      </c>
      <c r="D3" s="15" t="s">
        <v>53</v>
      </c>
      <c r="E3" s="16" t="s">
        <v>54</v>
      </c>
      <c r="F3" s="15" t="s">
        <v>55</v>
      </c>
      <c r="G3" s="17" t="s">
        <v>56</v>
      </c>
      <c r="H3" s="18">
        <v>42814</v>
      </c>
      <c r="I3" s="18">
        <v>42814</v>
      </c>
      <c r="J3" s="18"/>
      <c r="K3" s="18"/>
      <c r="L3" s="18"/>
      <c r="M3" s="35" t="s">
        <v>57</v>
      </c>
      <c r="N3" s="16" t="s">
        <v>58</v>
      </c>
      <c r="O3" s="20" t="str">
        <f>IF(LEN(M3)=15,IF(MOD(VALUE(RIGHT(M3,3)),2)=0,"女","男"),IF(LEN(M3)=18,IF(MOD(VALUE(MID(M3,15,3)),2)=0,"女","男"),"输错了"))</f>
        <v>男</v>
      </c>
      <c r="P3" s="21" t="s">
        <v>59</v>
      </c>
      <c r="Q3" s="16" t="s">
        <v>60</v>
      </c>
      <c r="R3" s="22" t="s">
        <v>61</v>
      </c>
      <c r="S3" s="16" t="s">
        <v>62</v>
      </c>
      <c r="T3" s="23">
        <f>IF(LEN(M3)=15,DATE(MID(M3,7,2),MID(M3,9,2),MID(M3,11,2)),IF(LEN(M3)=18,DATE(MID(M3,7,4),MID(M3,11,2),MID(M3,13,2)),"输错了"))</f>
        <v>30640</v>
      </c>
      <c r="U3" s="24">
        <f ca="1">DATEDIF(T3,NOW(),"Y")</f>
        <v>42</v>
      </c>
      <c r="V3" s="24">
        <f ca="1">DATEDIF(H3,NOW(),"Y")</f>
        <v>9</v>
      </c>
      <c r="W3" s="16" t="s">
        <v>63</v>
      </c>
      <c r="X3" s="16" t="s">
        <v>64</v>
      </c>
      <c r="Y3" s="16"/>
      <c r="Z3" s="16" t="s">
        <v>63</v>
      </c>
      <c r="AA3" s="16"/>
      <c r="AB3" s="15"/>
      <c r="AC3" s="15"/>
      <c r="AD3" s="15"/>
      <c r="AE3" s="15"/>
      <c r="AF3" s="15"/>
      <c r="AG3" s="15"/>
      <c r="AH3" s="25" t="s">
        <v>65</v>
      </c>
      <c r="AI3" s="26" t="s">
        <v>66</v>
      </c>
      <c r="AJ3" s="16" t="s">
        <v>67</v>
      </c>
      <c r="AK3" s="27" t="s">
        <v>68</v>
      </c>
      <c r="AL3" s="27" t="s">
        <v>69</v>
      </c>
      <c r="AM3" s="28" t="s">
        <v>70</v>
      </c>
      <c r="AN3" s="29">
        <v>45536</v>
      </c>
      <c r="AO3" s="30" t="s">
        <v>69</v>
      </c>
      <c r="AP3" s="36" t="s">
        <v>71</v>
      </c>
      <c r="AQ3" s="31" t="s">
        <v>72</v>
      </c>
      <c r="AR3" s="16" t="s">
        <v>73</v>
      </c>
      <c r="AS3" s="16" t="s">
        <v>74</v>
      </c>
      <c r="AT3" s="16" t="s">
        <v>75</v>
      </c>
      <c r="AU3" s="32" t="s">
        <v>76</v>
      </c>
      <c r="AV3" s="32" t="s">
        <v>77</v>
      </c>
      <c r="AW3" s="32" t="s">
        <v>78</v>
      </c>
      <c r="AX3" s="16"/>
      <c r="AY3" s="16"/>
      <c r="AZ3" s="22"/>
    </row>
    <row r="4" s="3" customFormat="1" ht="20" customHeight="1" spans="1:52">
      <c r="A4" s="15">
        <v>2</v>
      </c>
      <c r="B4" s="15" t="s">
        <v>52</v>
      </c>
      <c r="C4" s="16" t="s">
        <v>52</v>
      </c>
      <c r="D4" s="15" t="s">
        <v>53</v>
      </c>
      <c r="E4" s="16" t="s">
        <v>79</v>
      </c>
      <c r="F4" s="15" t="s">
        <v>80</v>
      </c>
      <c r="G4" s="15" t="s">
        <v>81</v>
      </c>
      <c r="H4" s="18">
        <v>42675</v>
      </c>
      <c r="I4" s="18">
        <v>42742</v>
      </c>
      <c r="J4" s="18"/>
      <c r="K4" s="18"/>
      <c r="L4" s="18"/>
      <c r="M4" s="35" t="s">
        <v>82</v>
      </c>
      <c r="N4" s="16">
        <v>18321005042</v>
      </c>
      <c r="O4" s="20" t="str">
        <f>IF(LEN(M4)=15,IF(MOD(VALUE(RIGHT(M4,3)),2)=0,"女","男"),IF(LEN(M4)=18,IF(MOD(VALUE(MID(M4,15,3)),2)=0,"女","男"),"输错了"))</f>
        <v>女</v>
      </c>
      <c r="P4" s="21" t="s">
        <v>59</v>
      </c>
      <c r="Q4" s="16" t="s">
        <v>60</v>
      </c>
      <c r="R4" s="22" t="s">
        <v>61</v>
      </c>
      <c r="S4" s="16" t="s">
        <v>83</v>
      </c>
      <c r="T4" s="23">
        <f>IF(LEN(M4)=15,DATE(MID(M4,7,2),MID(M4,9,2),MID(M4,11,2)),IF(LEN(M4)=18,DATE(MID(M4,7,4),MID(M4,11,2),MID(M4,13,2)),"输错了"))</f>
        <v>31734</v>
      </c>
      <c r="U4" s="24">
        <f ca="1">DATEDIF(T4,NOW(),"Y")</f>
        <v>39</v>
      </c>
      <c r="V4" s="24">
        <f ca="1">DATEDIF(H4,NOW(),"Y")</f>
        <v>9</v>
      </c>
      <c r="W4" s="16" t="s">
        <v>84</v>
      </c>
      <c r="X4" s="16"/>
      <c r="Y4" s="16"/>
      <c r="Z4" s="16" t="s">
        <v>84</v>
      </c>
      <c r="AA4" s="16"/>
      <c r="AB4" s="15"/>
      <c r="AC4" s="15"/>
      <c r="AD4" s="15"/>
      <c r="AE4" s="15" t="s">
        <v>85</v>
      </c>
      <c r="AF4" s="15" t="s">
        <v>86</v>
      </c>
      <c r="AG4" s="15"/>
      <c r="AH4" s="25" t="s">
        <v>87</v>
      </c>
      <c r="AI4" s="26" t="s">
        <v>88</v>
      </c>
      <c r="AJ4" s="16" t="s">
        <v>67</v>
      </c>
      <c r="AK4" s="27" t="s">
        <v>68</v>
      </c>
      <c r="AL4" s="27" t="s">
        <v>69</v>
      </c>
      <c r="AM4" s="28" t="s">
        <v>70</v>
      </c>
      <c r="AN4" s="33">
        <v>44442</v>
      </c>
      <c r="AO4" s="34" t="s">
        <v>69</v>
      </c>
      <c r="AP4" s="31" t="s">
        <v>89</v>
      </c>
      <c r="AQ4" s="31" t="s">
        <v>90</v>
      </c>
      <c r="AR4" s="16" t="s">
        <v>91</v>
      </c>
      <c r="AS4" s="16">
        <v>18956702995</v>
      </c>
      <c r="AT4" s="29" t="s">
        <v>92</v>
      </c>
      <c r="AU4" s="29" t="s">
        <v>93</v>
      </c>
      <c r="AV4" s="29" t="s">
        <v>94</v>
      </c>
      <c r="AW4" s="29" t="s">
        <v>95</v>
      </c>
      <c r="AX4" s="16"/>
      <c r="AY4" s="16"/>
      <c r="AZ4" s="22"/>
    </row>
  </sheetData>
  <sortState ref="A4:AZ104">
    <sortCondition ref="E4:E104" descending="1"/>
  </sortState>
  <dataValidations count="5">
    <dataValidation type="list" allowBlank="1" showInputMessage="1" showErrorMessage="1" sqref="Q3:Q4">
      <formula1>"未婚,已婚未育,已婚已育"</formula1>
    </dataValidation>
    <dataValidation type="list" allowBlank="1" showInputMessage="1" showErrorMessage="1" sqref="AJ3:AJ4">
      <formula1>"正式,试用期,实习生"</formula1>
    </dataValidation>
    <dataValidation type="list" allowBlank="1" showInputMessage="1" showErrorMessage="1" sqref="AK3:AK4">
      <formula1>"全日制,非全日制,实习见习,退休返聘,兼职,劳务派遣"</formula1>
    </dataValidation>
    <dataValidation type="list" allowBlank="1" showInputMessage="1" showErrorMessage="1" sqref="AL3:AL4">
      <formula1>"固定期限劳动合同,无固定期限劳动合同,实习/见习协议,劳务协议,兼职协议"</formula1>
    </dataValidation>
    <dataValidation type="list" allowBlank="1" showInputMessage="1" showErrorMessage="1" sqref="AM3:AM4">
      <formula1>"第1次,第2次,第3次,第4次,第5次"</formula1>
    </dataValidation>
  </dataValidations>
  <pageMargins left="0.75" right="0.75" top="1" bottom="1" header="0.5" footer="0.5"/>
  <pageSetup paperSize="9" scale="75" orientation="landscape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文枢在职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爱吃的喵星人</cp:lastModifiedBy>
  <dcterms:created xsi:type="dcterms:W3CDTF">2020-04-16T09:04:00Z</dcterms:created>
  <dcterms:modified xsi:type="dcterms:W3CDTF">2026-08-11T03:31:48Z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KSOReadingLayout">
    <vt:bool>true</vt:bool>
  </property>
  <property fmtid="{D5CDD505-2E9C-101B-9397-08002B2CF9AE}" pid="4" name="ICV">
    <vt:lpwstr>6F9CEFB71FD64A408D398CDEF315691A</vt:lpwstr>
  </property>
  <property fmtid="{D5CDD505-2E9C-101B-9397-08002B2CF9AE}" pid="5" name="CalculationRule">
    <vt:i4>0</vt:i4>
  </property>
</Properties>
</file>